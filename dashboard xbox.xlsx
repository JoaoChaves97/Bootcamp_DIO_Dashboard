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aga\Documents\"/>
    </mc:Choice>
  </mc:AlternateContent>
  <xr:revisionPtr revIDLastSave="0" documentId="13_ncr:1_{ABACD727-5798-4241-83DA-55AF8E08FF6D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1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<sst xmlns="http://schemas.openxmlformats.org/spreadsheetml/2006/main" count="2022" uniqueCount="324">
  <si>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</si>
  <si>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</si>
  <si>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</si>
  <si>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</si>
  <si>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</si>
  <si>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</si>
  <si>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</si>
  <si>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</si>
  <si>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</si>
  <si>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</si>
  <si>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</si>
  <si>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</si>
  <si>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</si>
  <si>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</si>
  <si>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</si>
  <si>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</si>
  <si>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</si>
  <si>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</si>
  <si>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</si>
  <si>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</si>
  <si>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</si>
  <si>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</si>
  <si>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</si>
  <si>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</si>
  <si>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</si>
  <si>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</si>
  <si>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</si>
  <si>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</si>
  <si>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</si>
  <si>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</si>
  <si>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</si>
  <si>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</si>
  <si>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</si>
  <si>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</si>
  <si>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</si>
  <si>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</si>
  <si>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</si>
  <si>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</si>
  <si>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</si>
  <si>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</si>
  <si>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</si>
  <si>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</si>
  <si>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</si>
  <si>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</si>
  <si>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</si>
  <si>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</si>
  <si>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</si>
  <si>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</si>
  <si>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</si>
  <si>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</si>
  <si>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</si>
  <si>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</si>
  <si>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</si>
  <si>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</si>
  <si>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</si>
  <si>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</si>
  <si>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</si>
  <si>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</si>
  <si>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</si>
  <si>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</si>
  <si>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</si>
  <si>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</si>
  <si>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</si>
  <si>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</si>
  <si>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</si>
  <si>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</si>
  <si>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</si>
  <si>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</si>
  <si>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</si>
  <si>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</si>
  <si>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</si>
  <si>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</si>
  <si>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</si>
  <si>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</si>
  <si>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</si>
  <si>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</si>
  <si>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</si>
  <si>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</si>
  <si>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</si>
  <si>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</si>
  <si>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</si>
  <si>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</si>
  <si>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</si>
  <si>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</si>
  <si>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</si>
  <si>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</si>
  <si>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</si>
  <si>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</si>
  <si>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</si>
  <si>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</si>
  <si>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</si>
  <si>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</si>
  <si>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</si>
  <si>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</si>
  <si>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</si>
  <si>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</si>
  <si>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</si>
  <si>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</si>
  <si>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</si>
  <si>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</si>
  <si>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</si>
  <si>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</si>
  <si>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</si>
  <si>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</si>
  <si>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</si>
  <si>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</si>
  <si>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</si>
  <si>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</si>
  <si>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</si>
  <si>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</si>
  <si>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</si>
  <si>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</si>
  <si>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</si>
  <si>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</si>
  <si>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</si>
  <si>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</si>
  <si>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</si>
  <si>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</si>
  <si>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</si>
  <si>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</si>
  <si>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</si>
  <si>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</si>
  <si>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</si>
  <si>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</si>
  <si>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</si>
  <si>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</si>
  <si>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</si>
  <si>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</si>
  <si>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</si>
  <si>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</si>
  <si>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</si>
  <si>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</si>
  <si>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</si>
  <si>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</si>
  <si>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</si>
  <si>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</si>
  <si>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</si>
  <si>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</si>
  <si>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</si>
  <si>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</si>
  <si>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</si>
  <si>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</si>
  <si>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</si>
  <si>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</si>
  <si>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</si>
  <si>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</si>
  <si>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</si>
  <si>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</si>
  <si>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</si>
  <si>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</si>
  <si>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</si>
  <si>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</si>
  <si>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</si>
  <si>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</si>
  <si>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</si>
  <si>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</si>
  <si>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</si>
  <si>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</si>
  <si>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</si>
  <si>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</si>
  <si>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</si>
  <si>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</si>
  <si>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</si>
  <si>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</si>
  <si>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</si>
  <si>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</si>
  <si>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</si>
  <si>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</si>
  <si>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</si>
  <si>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</si>
  <si>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</si>
  <si>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</si>
  <si>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</si>
  <si>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</si>
  <si>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</si>
  <si>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</si>
  <si>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</si>
  <si>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</si>
  <si>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</si>
  <si>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</si>
  <si>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</si>
  <si>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</si>
  <si>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</si>
  <si>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</si>
  <si>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</si>
  <si>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</si>
  <si>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</si>
  <si>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</si>
  <si>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</si>
  <si>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</si>
  <si>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</si>
  <si>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</si>
  <si>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</si>
  <si>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</si>
  <si>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</si>
  <si>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</si>
  <si>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</si>
  <si>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</si>
  <si>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</si>
  <si>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</si>
  <si>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</si>
  <si>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</si>
  <si>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</si>
  <si>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</si>
  <si>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</si>
  <si>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</si>
  <si>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</si>
  <si>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</si>
  <si>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</si>
  <si>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</si>
  <si>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</si>
  <si>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</si>
  <si>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</si>
  <si>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</si>
  <si>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</si>
  <si>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</si>
  <si>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</si>
  <si>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</si>
  <si>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</si>
  <si>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</si>
  <si>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</si>
  <si>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</si>
  <si>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</si>
  <si>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</si>
  <si>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</si>
  <si>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</si>
  <si>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</si>
  <si>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</si>
  <si>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</si>
  <si>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</si>
  <si>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</si>
  <si>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</si>
  <si>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</si>
  <si>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</si>
  <si>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</si>
  <si>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</si>
  <si>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</si>
  <si>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</si>
  <si>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</si>
  <si>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</si>
  <si>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</si>
  <si>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</si>
  <si>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</si>
  <si>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</si>
  <si>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</si>
  <si>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</si>
  <si>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</si>
  <si>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</si>
  <si>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</si>
  <si>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</si>
  <si>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</si>
  <si>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</si>
  <si>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</si>
  <si>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</si>
  <si>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</si>
  <si>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</si>
  <si>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</si>
  <si>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</si>
  <si>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</si>
  <si>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</si>
  <si>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</si>
  <si>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</si>
  <si>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</si>
  <si>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</si>
  <si>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</si>
  <si>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</si>
  <si>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</si>
  <si>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</si>
  <si>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</si>
  <si>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</si>
  <si>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</si>
  <si>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</si>
  <si>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</si>
  <si>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</si>
  <si>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</si>
  <si>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</si>
  <si>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</si>
  <si>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</si>
  <si>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</si>
  <si>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</si>
  <si>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</si>
  <si>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</si>
  <si>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</si>
  <si>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</si>
  <si>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</si>
  <si>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</si>
  <si>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</si>
  <si>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</si>
  <si>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</si>
  <si>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</si>
  <si>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</si>
  <si>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</si>
  <si>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</si>
  <si>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</si>
  <si>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</si>
  <si>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</si>
  <si>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</si>
  <si>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</si>
  <si>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</si>
  <si>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</si>
  <si>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</si>
  <si>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</si>
  <si>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</si>
  <si>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</si>
  <si>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</si>
  <si>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</si>
  <si>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</si>
  <si>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</si>
  <si>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</si>
  <si>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</si>
  <si>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</si>
  <si>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</si>
  <si>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</si>
  <si>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</si>
  <si>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</si>
  <si>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</si>
  <si>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</si>
  <si>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QUAL FATURAMENTO TOTAL DE VENDAS DE PLANOS ANUAIS</t>
  </si>
  <si>
    <t>QUAL FATURAMENTO TOTAL DE VENDAS DE PLANOS ANUAIS, SEPARADO POR AUTO RENOVAÇÃO NÃO É POR AUTORENOVAÇÃO</t>
  </si>
  <si>
    <t>Soma de EA Play Season Pass</t>
  </si>
  <si>
    <t>TOTAL DE VENDAS DE ASSINATURAS DO EA PLAY</t>
  </si>
  <si>
    <t xml:space="preserve">  </t>
  </si>
  <si>
    <t>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</si>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</sst>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3" xfId="3" applyFont="1" applyBorder="1"/>
    <xf numFmtId="0" fontId="0" fillId="0" borderId="0" xfId="0" applyNumberFormat="1"/>
    <xf numFmtId="44" fontId="0" fillId="0" borderId="0" xfId="2" applyFont="1"/>
    <xf numFmtId="0" fontId="0" fillId="0" borderId="3" xfId="0" applyBorder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B7A5B2D8-EF9F-4317-AEC9-7226879F06E8}">
      <tableStyleElement type="wholeTable" dxfId="1"/>
      <tableStyleElement type="headerRow" dxfId="0"/>
    </tableStyle>
  </tableStyles>
  <colors>
    <mruColors>
      <color rgb="FF22C55E"/>
      <color rgb="FF2AE6B1"/>
      <color rgb="FF717171"/>
      <color rgb="FF5BF6A8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AC0-46D1-8847-850A200DFC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0-46D1-8847-850A200DF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7532352"/>
        <c:axId val="817533312"/>
      </c:barChart>
      <c:catAx>
        <c:axId val="81753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7533312"/>
        <c:crosses val="autoZero"/>
        <c:auto val="1"/>
        <c:lblAlgn val="ctr"/>
        <c:lblOffset val="100"/>
        <c:noMultiLvlLbl val="0"/>
      </c:catAx>
      <c:valAx>
        <c:axId val="8175333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175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82643</xdr:colOff>
      <xdr:row>0</xdr:row>
      <xdr:rowOff>23112</xdr:rowOff>
    </xdr:from>
    <xdr:to>
      <xdr:col>2</xdr:col>
      <xdr:colOff>2102</xdr:colOff>
      <xdr:row>2</xdr:row>
      <xdr:rowOff>165988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13D485-4A66-42F5-8445-57AF602D9F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3" t="12812" r="72772" b="20797"/>
        <a:stretch>
          <a:fillRect/>
        </a:stretch>
      </xdr:blipFill>
      <xdr:spPr>
        <a:xfrm>
          <a:off x="1931614" y="23112"/>
          <a:ext cx="535782" cy="680758"/>
        </a:xfrm>
        <a:prstGeom prst="rect">
          <a:avLst/>
        </a:prstGeom>
      </xdr:spPr>
    </xdr:pic>
    <xdr:clientData/>
  </xdr:twoCellAnchor>
  <xdr:twoCellAnchor editAs="absolute">
    <xdr:from>
      <xdr:col>0</xdr:col>
      <xdr:colOff>11206</xdr:colOff>
      <xdr:row>6</xdr:row>
      <xdr:rowOff>80541</xdr:rowOff>
    </xdr:from>
    <xdr:to>
      <xdr:col>0</xdr:col>
      <xdr:colOff>1840006</xdr:colOff>
      <xdr:row>19</xdr:row>
      <xdr:rowOff>181394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7ED7DF6-6634-4273-AD50-2FE3BA3848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6" y="1458865"/>
              <a:ext cx="1828800" cy="26782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273842</xdr:colOff>
      <xdr:row>3</xdr:row>
      <xdr:rowOff>345141</xdr:rowOff>
    </xdr:from>
    <xdr:to>
      <xdr:col>3</xdr:col>
      <xdr:colOff>26614</xdr:colOff>
      <xdr:row>13</xdr:row>
      <xdr:rowOff>107016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6BAB2C1C-2B9C-9707-D7AF-8EA5EDB22DB2}"/>
            </a:ext>
          </a:extLst>
        </xdr:cNvPr>
        <xdr:cNvGrpSpPr/>
      </xdr:nvGrpSpPr>
      <xdr:grpSpPr>
        <a:xfrm>
          <a:off x="2122813" y="1151965"/>
          <a:ext cx="5019536" cy="1767727"/>
          <a:chOff x="2143124" y="892968"/>
          <a:chExt cx="5012532" cy="176212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87A19347-55F3-63B8-2201-5B48ACCAFE24}"/>
              </a:ext>
            </a:extLst>
          </xdr:cNvPr>
          <xdr:cNvSpPr/>
        </xdr:nvSpPr>
        <xdr:spPr>
          <a:xfrm>
            <a:off x="2143124" y="892968"/>
            <a:ext cx="5012531" cy="176212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1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D5AD858-3F01-487A-B022-421DE0693C12}"/>
              </a:ext>
            </a:extLst>
          </xdr:cNvPr>
          <xdr:cNvSpPr/>
        </xdr:nvSpPr>
        <xdr:spPr>
          <a:xfrm>
            <a:off x="3036093" y="1154906"/>
            <a:ext cx="3440906" cy="134540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BC383C1-C094-47B5-AA6B-555783381E26}" type="TxLink">
              <a:rPr lang="en-US" sz="3600" b="0" i="0" u="none" strike="noStrike">
                <a:ln>
                  <a:solidFill>
                    <a:srgbClr val="22C55E"/>
                  </a:solidFill>
                </a:ln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en-US" sz="3600" b="0" i="0" u="none" strike="noStrike">
              <a:ln>
                <a:solidFill>
                  <a:srgbClr val="22C55E"/>
                </a:solidFill>
              </a:ln>
              <a:solidFill>
                <a:srgbClr val="22C55E"/>
              </a:solidFill>
              <a:latin typeface="+mn-lt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A416F8F0-241A-4E81-B755-A04FEBAB1C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71750" y="1218009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BDA81C33-18E1-ED81-F183-1D3DBEA86886}"/>
              </a:ext>
            </a:extLst>
          </xdr:cNvPr>
          <xdr:cNvSpPr/>
        </xdr:nvSpPr>
        <xdr:spPr>
          <a:xfrm>
            <a:off x="2143125" y="892969"/>
            <a:ext cx="5012531" cy="36909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567717</xdr:colOff>
      <xdr:row>3</xdr:row>
      <xdr:rowOff>367553</xdr:rowOff>
    </xdr:from>
    <xdr:to>
      <xdr:col>14</xdr:col>
      <xdr:colOff>281968</xdr:colOff>
      <xdr:row>13</xdr:row>
      <xdr:rowOff>129428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80C08FED-2A15-73F8-6304-F75A1790B151}"/>
            </a:ext>
          </a:extLst>
        </xdr:cNvPr>
        <xdr:cNvGrpSpPr/>
      </xdr:nvGrpSpPr>
      <xdr:grpSpPr>
        <a:xfrm>
          <a:off x="8893688" y="1174377"/>
          <a:ext cx="4992221" cy="1767727"/>
          <a:chOff x="8486774" y="873919"/>
          <a:chExt cx="5012532" cy="176212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9F8B7F54-6F3D-4F09-9F2A-3BC0FCD89ACE}"/>
              </a:ext>
            </a:extLst>
          </xdr:cNvPr>
          <xdr:cNvGrpSpPr/>
        </xdr:nvGrpSpPr>
        <xdr:grpSpPr>
          <a:xfrm>
            <a:off x="8486774" y="873919"/>
            <a:ext cx="5012532" cy="1762125"/>
            <a:chOff x="2143124" y="892968"/>
            <a:chExt cx="5012532" cy="176212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F1ECD210-C299-A52D-EE39-CB8AA35E6C83}"/>
                </a:ext>
              </a:extLst>
            </xdr:cNvPr>
            <xdr:cNvSpPr/>
          </xdr:nvSpPr>
          <xdr:spPr>
            <a:xfrm>
              <a:off x="2143124" y="892968"/>
              <a:ext cx="5012531" cy="176212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26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98F50A54-D537-F406-CD97-87BED34BFFAB}"/>
                </a:ext>
              </a:extLst>
            </xdr:cNvPr>
            <xdr:cNvSpPr/>
          </xdr:nvSpPr>
          <xdr:spPr>
            <a:xfrm>
              <a:off x="3309936" y="1202531"/>
              <a:ext cx="3440906" cy="1345406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E07986F-2A8C-4BC1-9977-CFD9EEC15B55}" type="TxLink">
                <a:rPr lang="en-US" sz="3600" b="0" i="0" u="none" strike="noStrike">
                  <a:ln>
                    <a:solidFill>
                      <a:srgbClr val="22C55E"/>
                    </a:solidFill>
                  </a:ln>
                  <a:solidFill>
                    <a:srgbClr val="22C55E"/>
                  </a:solidFill>
                  <a:latin typeface="Aptos Narrow"/>
                </a:rPr>
                <a:t> R$ 940,00 </a:t>
              </a:fld>
              <a:endParaRPr lang="en-US" sz="3600" b="0" i="0" u="none" strike="noStrike">
                <a:ln>
                  <a:solidFill>
                    <a:srgbClr val="22C55E"/>
                  </a:solidFill>
                </a:ln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5997179F-093D-E08E-2F2B-7180971A5911}"/>
                </a:ext>
              </a:extLst>
            </xdr:cNvPr>
            <xdr:cNvSpPr/>
          </xdr:nvSpPr>
          <xdr:spPr>
            <a:xfrm>
              <a:off x="2143125" y="892969"/>
              <a:ext cx="5012531" cy="36909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baseline="0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SEASON PASS</a:t>
              </a:r>
              <a:endParaRPr lang="pt-BR"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147D1742-705D-4FD2-8873-9AFDA334B452}"/>
              </a:ext>
            </a:extLst>
          </xdr:cNvPr>
          <xdr:cNvGrpSpPr/>
        </xdr:nvGrpSpPr>
        <xdr:grpSpPr>
          <a:xfrm>
            <a:off x="8582024" y="1421606"/>
            <a:ext cx="1549476" cy="752476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D3C5FE09-C21C-F805-7038-BDDCF87115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C3EC6952-7D39-96A6-4921-D12E6FF812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214314</xdr:colOff>
      <xdr:row>14</xdr:row>
      <xdr:rowOff>35719</xdr:rowOff>
    </xdr:from>
    <xdr:to>
      <xdr:col>14</xdr:col>
      <xdr:colOff>357187</xdr:colOff>
      <xdr:row>29</xdr:row>
      <xdr:rowOff>142875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4F12AF93-69B5-CF1A-2E70-A09CC659CCC7}"/>
            </a:ext>
          </a:extLst>
        </xdr:cNvPr>
        <xdr:cNvGrpSpPr/>
      </xdr:nvGrpSpPr>
      <xdr:grpSpPr>
        <a:xfrm>
          <a:off x="2063285" y="3038895"/>
          <a:ext cx="11897843" cy="2964656"/>
          <a:chOff x="2063285" y="3038895"/>
          <a:chExt cx="11516843" cy="296465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E704302E-A94F-44CE-B644-904A60E08040}"/>
              </a:ext>
            </a:extLst>
          </xdr:cNvPr>
          <xdr:cNvGrpSpPr/>
        </xdr:nvGrpSpPr>
        <xdr:grpSpPr>
          <a:xfrm>
            <a:off x="2063285" y="3038895"/>
            <a:ext cx="11516843" cy="2964656"/>
            <a:chOff x="2405062" y="1593056"/>
            <a:chExt cx="5667375" cy="274320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A98054D8-C331-E6E1-B967-FC26B36429B4}"/>
                </a:ext>
              </a:extLst>
            </xdr:cNvPr>
            <xdr:cNvSpPr/>
          </xdr:nvSpPr>
          <xdr:spPr>
            <a:xfrm>
              <a:off x="2405062" y="1607344"/>
              <a:ext cx="5667375" cy="270271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3A09F71-6425-42FA-83D7-3916E2D09C24}"/>
                </a:ext>
              </a:extLst>
            </xdr:cNvPr>
            <xdr:cNvGraphicFramePr>
              <a:graphicFrameLocks/>
            </xdr:cNvGraphicFramePr>
          </xdr:nvGraphicFramePr>
          <xdr:xfrm>
            <a:off x="2676525" y="1593056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26EB6E9B-45BD-42E4-AACB-8C75CB171ACF}"/>
              </a:ext>
            </a:extLst>
          </xdr:cNvPr>
          <xdr:cNvSpPr/>
        </xdr:nvSpPr>
        <xdr:spPr>
          <a:xfrm>
            <a:off x="2063286" y="3038895"/>
            <a:ext cx="11512080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519475</xdr:colOff>
      <xdr:row>1</xdr:row>
      <xdr:rowOff>89647</xdr:rowOff>
    </xdr:from>
    <xdr:to>
      <xdr:col>0</xdr:col>
      <xdr:colOff>1240654</xdr:colOff>
      <xdr:row>3</xdr:row>
      <xdr:rowOff>191781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340CCF58-AD89-44EF-AFFC-0A52CAC5F30B}"/>
            </a:ext>
          </a:extLst>
        </xdr:cNvPr>
        <xdr:cNvSpPr/>
      </xdr:nvSpPr>
      <xdr:spPr>
        <a:xfrm>
          <a:off x="519475" y="280147"/>
          <a:ext cx="721179" cy="71845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235324</xdr:colOff>
      <xdr:row>3</xdr:row>
      <xdr:rowOff>289432</xdr:rowOff>
    </xdr:from>
    <xdr:to>
      <xdr:col>0</xdr:col>
      <xdr:colOff>1813753</xdr:colOff>
      <xdr:row>5</xdr:row>
      <xdr:rowOff>48185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CA97EC49-99E7-4328-9F2F-922673593B3E}"/>
            </a:ext>
          </a:extLst>
        </xdr:cNvPr>
        <xdr:cNvSpPr/>
      </xdr:nvSpPr>
      <xdr:spPr>
        <a:xfrm>
          <a:off x="235324" y="1096256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190499</xdr:colOff>
      <xdr:row>3</xdr:row>
      <xdr:rowOff>0</xdr:rowOff>
    </xdr:from>
    <xdr:to>
      <xdr:col>2</xdr:col>
      <xdr:colOff>4169870</xdr:colOff>
      <xdr:row>3</xdr:row>
      <xdr:rowOff>229400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173FD8CD-6378-4D0B-AD0D-B6213F1AEEB6}"/>
            </a:ext>
          </a:extLst>
        </xdr:cNvPr>
        <xdr:cNvSpPr/>
      </xdr:nvSpPr>
      <xdr:spPr>
        <a:xfrm>
          <a:off x="2039470" y="806824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/>
              </a:solidFill>
            </a:rPr>
            <a:t>Calculation period: 01/01/2024 - 31/12/2024 | Update date: 19/01/2026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G" refreshedDate="46034.505390046295" createdVersion="8" refreshedVersion="8" minRefreshableVersion="3" recordCount="295" xr:uid="{94EB4600-6186-453E-883F-0C007F79AB6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003628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6E46C-D475-4628-9A1C-16A7E6C8A7FC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22:B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3CE1A-65EF-42AC-A153-32600C47B671}" name="tb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2:B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4B7C9-64B8-48F4-8EA5-F65ACB6AB80F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9DF8A26-55B8-41CE-A191-C916D2AD59F8}" sourceName="Subscription Type">
  <pivotTables>
    <pivotTable tabId="3" name="tbl_annual_total"/>
    <pivotTable tabId="3" name="tb_easeasonpass_total"/>
    <pivotTable tabId="3" name="Tabela dinâmica3"/>
  </pivotTables>
  <data>
    <tabular pivotCacheId="130036282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0EED353-2D51-444B-B718-283292EDFB1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5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5" sqref="E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26"/>
  <sheetViews>
    <sheetView showGridLines="0" topLeftCell="A9" workbookViewId="0">
      <selection activeCell="E5" sqref="E5"/>
    </sheetView>
  </sheetViews>
  <sheetFormatPr defaultRowHeight="15" x14ac:dyDescent="0.25"/>
  <cols>
    <col min="1" max="1" width="18.42578125" bestFit="1" customWidth="1"/>
    <col min="2" max="2" width="35.140625" bestFit="1" customWidth="1"/>
    <col min="3" max="3" width="9" bestFit="1" customWidth="1"/>
    <col min="4" max="4" width="1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4" x14ac:dyDescent="0.25">
      <c r="A1" s="12" t="s">
        <v>16</v>
      </c>
      <c r="B1" t="s">
        <v>24</v>
      </c>
    </row>
    <row r="3" spans="1:4" x14ac:dyDescent="0.25">
      <c r="A3" s="12" t="s">
        <v>313</v>
      </c>
      <c r="B3" t="s">
        <v>315</v>
      </c>
      <c r="C3" t="s">
        <v>317</v>
      </c>
    </row>
    <row r="4" spans="1:4" x14ac:dyDescent="0.25">
      <c r="A4" s="13" t="s">
        <v>23</v>
      </c>
      <c r="B4" s="14">
        <v>217</v>
      </c>
      <c r="C4" t="s">
        <v>318</v>
      </c>
    </row>
    <row r="5" spans="1:4" x14ac:dyDescent="0.25">
      <c r="A5" s="13" t="s">
        <v>19</v>
      </c>
      <c r="B5" s="14">
        <v>1537</v>
      </c>
    </row>
    <row r="6" spans="1:4" x14ac:dyDescent="0.25">
      <c r="A6" s="13" t="s">
        <v>314</v>
      </c>
      <c r="B6" s="14">
        <v>1754</v>
      </c>
    </row>
    <row r="10" spans="1:4" x14ac:dyDescent="0.25">
      <c r="A10" s="12" t="s">
        <v>16</v>
      </c>
      <c r="B10" t="s">
        <v>24</v>
      </c>
    </row>
    <row r="12" spans="1:4" x14ac:dyDescent="0.25">
      <c r="A12" s="12" t="s">
        <v>313</v>
      </c>
      <c r="B12" t="s">
        <v>319</v>
      </c>
      <c r="C12" t="s">
        <v>320</v>
      </c>
    </row>
    <row r="13" spans="1:4" x14ac:dyDescent="0.25">
      <c r="A13" s="13" t="s">
        <v>22</v>
      </c>
      <c r="B13" s="16">
        <v>0</v>
      </c>
    </row>
    <row r="14" spans="1:4" x14ac:dyDescent="0.25">
      <c r="A14" s="13" t="s">
        <v>26</v>
      </c>
      <c r="B14" s="16">
        <v>0</v>
      </c>
    </row>
    <row r="15" spans="1:4" x14ac:dyDescent="0.25">
      <c r="A15" s="13" t="s">
        <v>18</v>
      </c>
      <c r="B15" s="16">
        <v>600</v>
      </c>
    </row>
    <row r="16" spans="1:4" x14ac:dyDescent="0.25">
      <c r="A16" s="13" t="s">
        <v>314</v>
      </c>
      <c r="B16" s="16">
        <v>600</v>
      </c>
      <c r="D16" s="17">
        <f>GETPIVOTDATA("EA Play Season Pass
Price",$A$12)</f>
        <v>600</v>
      </c>
    </row>
    <row r="19" spans="1:4" x14ac:dyDescent="0.25">
      <c r="A19" s="13" t="s">
        <v>321</v>
      </c>
    </row>
    <row r="20" spans="1:4" x14ac:dyDescent="0.25">
      <c r="A20" s="12" t="s">
        <v>16</v>
      </c>
      <c r="B20" t="s">
        <v>24</v>
      </c>
    </row>
    <row r="22" spans="1:4" x14ac:dyDescent="0.25">
      <c r="A22" s="12" t="s">
        <v>313</v>
      </c>
      <c r="B22" t="s">
        <v>323</v>
      </c>
      <c r="C22" t="s">
        <v>322</v>
      </c>
    </row>
    <row r="23" spans="1:4" x14ac:dyDescent="0.25">
      <c r="A23" s="13" t="s">
        <v>22</v>
      </c>
      <c r="B23" s="14">
        <v>0</v>
      </c>
    </row>
    <row r="24" spans="1:4" x14ac:dyDescent="0.25">
      <c r="A24" s="13" t="s">
        <v>26</v>
      </c>
      <c r="B24" s="14">
        <v>540</v>
      </c>
    </row>
    <row r="25" spans="1:4" x14ac:dyDescent="0.25">
      <c r="A25" s="13" t="s">
        <v>18</v>
      </c>
      <c r="B25" s="14">
        <v>400</v>
      </c>
    </row>
    <row r="26" spans="1:4" x14ac:dyDescent="0.25">
      <c r="A26" s="13" t="s">
        <v>314</v>
      </c>
      <c r="B26" s="14">
        <v>940</v>
      </c>
      <c r="D26" s="17">
        <f>GETPIVOTDATA("Minecraft Season Pass Price",$A$22)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H123"/>
  <sheetViews>
    <sheetView showGridLines="0" showRowColHeaders="0" tabSelected="1" zoomScale="85" zoomScaleNormal="85" workbookViewId="0">
      <selection activeCell="D4" sqref="D4"/>
    </sheetView>
  </sheetViews>
  <sheetFormatPr defaultRowHeight="15" x14ac:dyDescent="0.25"/>
  <cols>
    <col min="1" max="1" width="27.7109375" style="4" customWidth="1"/>
    <col min="2" max="2" width="9.28515625" customWidth="1"/>
    <col min="3" max="3" width="69.7109375" bestFit="1" customWidth="1"/>
    <col min="12" max="12" width="6.5703125" customWidth="1"/>
  </cols>
  <sheetData>
    <row r="2" spans="2:34" ht="27" thickBot="1" x14ac:dyDescent="0.45">
      <c r="C2" s="15" t="s">
        <v>316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2:34" ht="21" customHeight="1" thickTop="1" x14ac:dyDescent="0.25"/>
    <row r="4" spans="2:34" ht="29.25" customHeigh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2:34" ht="8.25" customHeight="1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2:34" ht="7.5" customHeigh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2:34" ht="10.5" customHeight="1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2:34" ht="9.75" customHeight="1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2:34" ht="33" customHeight="1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2:3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2:3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2:3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2:3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2:3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2:3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2:3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2:34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2:34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2:34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2:34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2:34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2:34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2:34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2:34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2:34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2:34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2:34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2:34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2:34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2:34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2:34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2:34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2:34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2:34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2:34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2:34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2:34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2:34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2:34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2:34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2:34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2:34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2:34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2:34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2:34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2:34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2:34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2:34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2:34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2:34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2:34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2:34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2:34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2:34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2:34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2:34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2:34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2:34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2:34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2:34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2:34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2:34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2:34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2:34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2:34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2:34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2:34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2:34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2:34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2:34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2:34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2:34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2:34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2:34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2:34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2:34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2:34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2:34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2:34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2:34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2:34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2:34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2:34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2:34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2:34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2:34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2:34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2:34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2:34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2:34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2:34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2:34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2:34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2:34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2:34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2:34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2:34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2:34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2:34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2:34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2:34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2:34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2:34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2:34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2:34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2:34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2:34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2:34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2:34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2:34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2:34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2:34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2:34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2:34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2:34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2:34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2:34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2:34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2:34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2:34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2:34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2:34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2:34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G</cp:lastModifiedBy>
  <dcterms:created xsi:type="dcterms:W3CDTF">2024-12-19T13:13:10Z</dcterms:created>
  <dcterms:modified xsi:type="dcterms:W3CDTF">2026-01-19T15:00:49Z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